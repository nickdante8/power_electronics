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PE\power_electronics\PCB_Project\Project Outputs\"/>
    </mc:Choice>
  </mc:AlternateContent>
  <xr:revisionPtr revIDLastSave="0" documentId="13_ncr:1_{870CD9C5-846B-4635-964D-016C2182BD20}" xr6:coauthVersionLast="47" xr6:coauthVersionMax="47" xr10:uidLastSave="{00000000-0000-0000-0000-000000000000}"/>
  <bookViews>
    <workbookView xWindow="-108" yWindow="-108" windowWidth="23256" windowHeight="12456" xr2:uid="{B9CF560F-026B-47F5-BAAF-B3A4F386EADA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O23" i="1" s="1"/>
  <c r="N2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</calcChain>
</file>

<file path=xl/sharedStrings.xml><?xml version="1.0" encoding="utf-8"?>
<sst xmlns="http://schemas.openxmlformats.org/spreadsheetml/2006/main" count="224" uniqueCount="109">
  <si>
    <t>Line #</t>
  </si>
  <si>
    <t>Name</t>
  </si>
  <si>
    <t>Description</t>
  </si>
  <si>
    <t>Designator</t>
  </si>
  <si>
    <t>Manufacturer 1</t>
  </si>
  <si>
    <t>Manufacturer Part Number 1</t>
  </si>
  <si>
    <t>Manufacturer Lifecycle 1</t>
  </si>
  <si>
    <t>Quantity</t>
  </si>
  <si>
    <t>Qty</t>
  </si>
  <si>
    <t>Supplier 1</t>
  </si>
  <si>
    <t>Supplier Part Number 1</t>
  </si>
  <si>
    <t>Supplier Unit Price 1</t>
  </si>
  <si>
    <t>Supplier Order Qty 1</t>
  </si>
  <si>
    <t>Supplier Subtotal 1</t>
  </si>
  <si>
    <t/>
  </si>
  <si>
    <t>875585845002</t>
  </si>
  <si>
    <t>Capacitor Polarised</t>
  </si>
  <si>
    <t>C1</t>
  </si>
  <si>
    <t>Wurth Elektronik</t>
  </si>
  <si>
    <t>Unknown</t>
  </si>
  <si>
    <t>5</t>
  </si>
  <si>
    <t>Mouser</t>
  </si>
  <si>
    <t>710-875585845002</t>
  </si>
  <si>
    <t>KGM43JR71H106KV</t>
  </si>
  <si>
    <t>Capacitor</t>
  </si>
  <si>
    <t>C2</t>
  </si>
  <si>
    <t>KYOCERA AVX</t>
  </si>
  <si>
    <t>Volume Production</t>
  </si>
  <si>
    <t>581-KGM43JR71H106KV</t>
  </si>
  <si>
    <t>06035D105KAT2A</t>
  </si>
  <si>
    <t>C3, C4</t>
  </si>
  <si>
    <t>10</t>
  </si>
  <si>
    <t>581-06035D105KAT2A</t>
  </si>
  <si>
    <t>0603YC104K4T4A</t>
  </si>
  <si>
    <t>C5</t>
  </si>
  <si>
    <t>581-0603YC104K4T4A</t>
  </si>
  <si>
    <t>06035U100JAT2A</t>
  </si>
  <si>
    <t>C6</t>
  </si>
  <si>
    <t>581-06035U100J</t>
  </si>
  <si>
    <t>GRM32ER61A107ME20L</t>
  </si>
  <si>
    <t>Chip Multilayer Ceramic Capacitors for General Purpose, 1210, 100uF, X5R, 15%, 20%, 10V</t>
  </si>
  <si>
    <t>C7</t>
  </si>
  <si>
    <t>Murata</t>
  </si>
  <si>
    <t>81-GRM32ER61A107ME0L</t>
  </si>
  <si>
    <t>KGM15BR71A105KT</t>
  </si>
  <si>
    <t>C8</t>
  </si>
  <si>
    <t>0603ZC105KAT2A</t>
  </si>
  <si>
    <t>581-0603ZC105KAT2A</t>
  </si>
  <si>
    <t>GRM188R61E106MA73D</t>
  </si>
  <si>
    <t>Chip Multilayer Ceramic Capacitors for General Purpose, 0603, 10uF, X5R, 15%, 20%, 25V</t>
  </si>
  <si>
    <t>C9</t>
  </si>
  <si>
    <t>81-GRM188R61E106MA3D</t>
  </si>
  <si>
    <t>KAM32LR71H106KL</t>
  </si>
  <si>
    <t>C10, C11</t>
  </si>
  <si>
    <t>581-KAM32LR71H106KL</t>
  </si>
  <si>
    <t>GRM155R71H104KE14D</t>
  </si>
  <si>
    <t>Chip Multilayer Ceramic Capacitors for General Purpose, 0402, 0.10uF, X7R, 15%, 10%, 50V</t>
  </si>
  <si>
    <t>C12, C13</t>
  </si>
  <si>
    <t>81-GRM155R71H104KE4D</t>
  </si>
  <si>
    <t>74279226101</t>
  </si>
  <si>
    <t>Inductor</t>
  </si>
  <si>
    <t>FB1</t>
  </si>
  <si>
    <t>1</t>
  </si>
  <si>
    <t>710-74279226101</t>
  </si>
  <si>
    <t>1217056-1</t>
  </si>
  <si>
    <t>Connector</t>
  </si>
  <si>
    <t>J1, J2, J3, J4, J5, J6</t>
  </si>
  <si>
    <t>TE Connectivity / AMP</t>
  </si>
  <si>
    <t>571-1217056-1</t>
  </si>
  <si>
    <t>12401899E412A</t>
  </si>
  <si>
    <t>USB TYPE C, RECEPTACLE, TOP MOUN</t>
  </si>
  <si>
    <t>J7</t>
  </si>
  <si>
    <t>Amphenol</t>
  </si>
  <si>
    <t>2</t>
  </si>
  <si>
    <t>523-12401899E412A</t>
  </si>
  <si>
    <t>SRP1245A-180M</t>
  </si>
  <si>
    <t>L1</t>
  </si>
  <si>
    <t>Bourns</t>
  </si>
  <si>
    <t>652-SRP1245A-180M</t>
  </si>
  <si>
    <t>CRCW0603100KFKEA</t>
  </si>
  <si>
    <t>Resistor</t>
  </si>
  <si>
    <t>R1</t>
  </si>
  <si>
    <t>Vishay</t>
  </si>
  <si>
    <t>CRCW0603100KFKEAHP</t>
  </si>
  <si>
    <t>71-CRCW0603100KFKEAH</t>
  </si>
  <si>
    <t>CRCW0603232KFKEA</t>
  </si>
  <si>
    <t>R2</t>
  </si>
  <si>
    <t>71-CRCW0603-232K-E3</t>
  </si>
  <si>
    <t>CRCW0603243KFKEAHP</t>
  </si>
  <si>
    <t>RES Thick Film, 243kΩ, 1%, 0.33W, 100ppm/°C, 0603</t>
  </si>
  <si>
    <t>R3</t>
  </si>
  <si>
    <t>71-CRCW0603243KFKEAH</t>
  </si>
  <si>
    <t>CRCW06035K11FKTA</t>
  </si>
  <si>
    <t>R4, R7</t>
  </si>
  <si>
    <t>71-CRCW0603-5.11K</t>
  </si>
  <si>
    <t>CRCW06031M00FKEA</t>
  </si>
  <si>
    <t>RES Thick Film, 1MΩ, 1%, 0.1W, 100ppm/°C, 0603</t>
  </si>
  <si>
    <t>R6</t>
  </si>
  <si>
    <t>71-CRCW0603-1.0M-E3</t>
  </si>
  <si>
    <t>ESR03EZPJ243</t>
  </si>
  <si>
    <t>24kΩ ±5% 0.25W 0603 Anti-Surge Chip Resistor AEC-Q200</t>
  </si>
  <si>
    <t>R8</t>
  </si>
  <si>
    <t>ROHM</t>
  </si>
  <si>
    <t>755-ESR03EZPJ243</t>
  </si>
  <si>
    <t>LT8640SIV-2#PBF</t>
  </si>
  <si>
    <t>IC REG BUCK ADJUSTABLE 6A 24LQFN</t>
  </si>
  <si>
    <t>U1</t>
  </si>
  <si>
    <t>Analog Devices</t>
  </si>
  <si>
    <t>584-LT8640SIV-2#PBF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</si>
</sst>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2704-1EE1-43C1-B23D-12791556C6A7}">
  <dimension ref="A1:O23"/>
  <sheetViews>
    <sheetView tabSelected="1" topLeftCell="G1" workbookViewId="0">
      <selection activeCell="O22" sqref="O22"/>
    </sheetView>
  </sheetViews>
  <sheetFormatPr defaultRowHeight="14.4" x14ac:dyDescent="0.3"/>
  <cols>
    <col min="1" max="1" width="11.5546875" customWidth="1"/>
    <col min="2" max="2" width="11.21875" customWidth="1"/>
    <col min="3" max="3" width="15.77734375" customWidth="1"/>
    <col min="4" max="4" width="15.5546875" customWidth="1"/>
    <col min="5" max="5" width="18.88671875" customWidth="1"/>
    <col min="6" max="6" width="29.109375" customWidth="1"/>
    <col min="7" max="7" width="25.6640625" customWidth="1"/>
    <col min="8" max="8" width="13.5546875" customWidth="1"/>
    <col min="9" max="9" width="8.33203125" customWidth="1"/>
    <col min="10" max="10" width="14.77734375" customWidth="1"/>
    <col min="11" max="11" width="25" customWidth="1"/>
    <col min="12" max="12" width="22.6640625" customWidth="1"/>
    <col min="13" max="13" width="19.88671875" customWidth="1"/>
    <col min="14" max="14" width="21.8867187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15</v>
      </c>
      <c r="G2" s="2" t="s">
        <v>19</v>
      </c>
      <c r="H2" s="1">
        <v>1</v>
      </c>
      <c r="I2" s="2" t="s">
        <v>20</v>
      </c>
      <c r="J2" s="2" t="s">
        <v>21</v>
      </c>
      <c r="K2" s="2" t="s">
        <v>22</v>
      </c>
      <c r="L2" s="1">
        <v>1.43</v>
      </c>
      <c r="M2" s="1">
        <v>1</v>
      </c>
      <c r="N2" s="1">
        <v>1.43</v>
      </c>
      <c r="O2">
        <f>I2*L2</f>
        <v>7.1499999999999995</v>
      </c>
    </row>
    <row r="3" spans="1:15" x14ac:dyDescent="0.3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23</v>
      </c>
      <c r="G3" s="2" t="s">
        <v>27</v>
      </c>
      <c r="H3" s="1">
        <v>1</v>
      </c>
      <c r="I3" s="2" t="s">
        <v>20</v>
      </c>
      <c r="J3" s="2" t="s">
        <v>21</v>
      </c>
      <c r="K3" s="2" t="s">
        <v>28</v>
      </c>
      <c r="L3" s="1">
        <v>2.31</v>
      </c>
      <c r="M3" s="1">
        <v>1</v>
      </c>
      <c r="N3" s="1">
        <v>2.31</v>
      </c>
      <c r="O3">
        <f t="shared" ref="O3:O22" si="0">I3*L3</f>
        <v>11.55</v>
      </c>
    </row>
    <row r="4" spans="1:15" x14ac:dyDescent="0.3">
      <c r="A4" s="2" t="s">
        <v>14</v>
      </c>
      <c r="B4" s="2" t="s">
        <v>29</v>
      </c>
      <c r="C4" s="2" t="s">
        <v>24</v>
      </c>
      <c r="D4" s="2" t="s">
        <v>30</v>
      </c>
      <c r="E4" s="2" t="s">
        <v>26</v>
      </c>
      <c r="F4" s="2" t="s">
        <v>29</v>
      </c>
      <c r="G4" s="2" t="s">
        <v>27</v>
      </c>
      <c r="H4" s="1">
        <v>2</v>
      </c>
      <c r="I4" s="2" t="s">
        <v>31</v>
      </c>
      <c r="J4" s="2" t="s">
        <v>21</v>
      </c>
      <c r="K4" s="2" t="s">
        <v>32</v>
      </c>
      <c r="L4" s="1">
        <v>0.48403000000000002</v>
      </c>
      <c r="M4" s="1">
        <v>2</v>
      </c>
      <c r="N4" s="1">
        <v>0.96806999999999999</v>
      </c>
      <c r="O4">
        <f t="shared" si="0"/>
        <v>4.8403</v>
      </c>
    </row>
    <row r="5" spans="1:15" x14ac:dyDescent="0.3">
      <c r="A5" s="2" t="s">
        <v>14</v>
      </c>
      <c r="B5" s="2" t="s">
        <v>33</v>
      </c>
      <c r="C5" s="2" t="s">
        <v>24</v>
      </c>
      <c r="D5" s="2" t="s">
        <v>34</v>
      </c>
      <c r="E5" s="2" t="s">
        <v>26</v>
      </c>
      <c r="F5" s="2" t="s">
        <v>33</v>
      </c>
      <c r="G5" s="2" t="s">
        <v>27</v>
      </c>
      <c r="H5" s="1">
        <v>1</v>
      </c>
      <c r="I5" s="2" t="s">
        <v>20</v>
      </c>
      <c r="J5" s="2" t="s">
        <v>21</v>
      </c>
      <c r="K5" s="2" t="s">
        <v>35</v>
      </c>
      <c r="L5" s="1">
        <v>8.6430000000000007E-2</v>
      </c>
      <c r="M5" s="1">
        <v>1</v>
      </c>
      <c r="N5" s="1">
        <v>8.6430000000000007E-2</v>
      </c>
      <c r="O5">
        <f t="shared" si="0"/>
        <v>0.43215000000000003</v>
      </c>
    </row>
    <row r="6" spans="1:15" x14ac:dyDescent="0.3">
      <c r="A6" s="2" t="s">
        <v>14</v>
      </c>
      <c r="B6" s="2" t="s">
        <v>36</v>
      </c>
      <c r="C6" s="2" t="s">
        <v>24</v>
      </c>
      <c r="D6" s="2" t="s">
        <v>37</v>
      </c>
      <c r="E6" s="2" t="s">
        <v>26</v>
      </c>
      <c r="F6" s="2" t="s">
        <v>36</v>
      </c>
      <c r="G6" s="2" t="s">
        <v>27</v>
      </c>
      <c r="H6" s="1">
        <v>1</v>
      </c>
      <c r="I6" s="2" t="s">
        <v>20</v>
      </c>
      <c r="J6" s="2" t="s">
        <v>21</v>
      </c>
      <c r="K6" s="2" t="s">
        <v>38</v>
      </c>
      <c r="L6" s="1">
        <v>0.70875999999999995</v>
      </c>
      <c r="M6" s="1">
        <v>1</v>
      </c>
      <c r="N6" s="1">
        <v>0.70875999999999995</v>
      </c>
      <c r="O6">
        <f t="shared" si="0"/>
        <v>3.5437999999999996</v>
      </c>
    </row>
    <row r="7" spans="1:15" x14ac:dyDescent="0.3">
      <c r="A7" s="2" t="s">
        <v>14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39</v>
      </c>
      <c r="G7" s="2" t="s">
        <v>27</v>
      </c>
      <c r="H7" s="1">
        <v>1</v>
      </c>
      <c r="I7" s="2" t="s">
        <v>20</v>
      </c>
      <c r="J7" s="2" t="s">
        <v>21</v>
      </c>
      <c r="K7" s="2" t="s">
        <v>43</v>
      </c>
      <c r="L7" s="1">
        <v>0.62233000000000005</v>
      </c>
      <c r="M7" s="1">
        <v>1</v>
      </c>
      <c r="N7" s="1">
        <v>0.62233000000000005</v>
      </c>
      <c r="O7">
        <f t="shared" si="0"/>
        <v>3.11165</v>
      </c>
    </row>
    <row r="8" spans="1:15" x14ac:dyDescent="0.3">
      <c r="A8" s="2" t="s">
        <v>14</v>
      </c>
      <c r="B8" s="2" t="s">
        <v>44</v>
      </c>
      <c r="C8" s="2" t="s">
        <v>24</v>
      </c>
      <c r="D8" s="2" t="s">
        <v>45</v>
      </c>
      <c r="E8" s="2" t="s">
        <v>26</v>
      </c>
      <c r="F8" s="2" t="s">
        <v>46</v>
      </c>
      <c r="G8" s="2" t="s">
        <v>27</v>
      </c>
      <c r="H8" s="1">
        <v>1</v>
      </c>
      <c r="I8" s="2" t="s">
        <v>20</v>
      </c>
      <c r="J8" s="2" t="s">
        <v>21</v>
      </c>
      <c r="K8" s="2" t="s">
        <v>47</v>
      </c>
      <c r="L8" s="1">
        <v>0.14693999999999999</v>
      </c>
      <c r="M8" s="1">
        <v>1</v>
      </c>
      <c r="N8" s="1">
        <v>0.14693999999999999</v>
      </c>
      <c r="O8">
        <f t="shared" si="0"/>
        <v>0.73469999999999991</v>
      </c>
    </row>
    <row r="9" spans="1:15" x14ac:dyDescent="0.3">
      <c r="A9" s="2" t="s">
        <v>14</v>
      </c>
      <c r="B9" s="2" t="s">
        <v>48</v>
      </c>
      <c r="C9" s="2" t="s">
        <v>49</v>
      </c>
      <c r="D9" s="2" t="s">
        <v>50</v>
      </c>
      <c r="E9" s="2" t="s">
        <v>42</v>
      </c>
      <c r="F9" s="2" t="s">
        <v>48</v>
      </c>
      <c r="G9" s="2" t="s">
        <v>27</v>
      </c>
      <c r="H9" s="1">
        <v>1</v>
      </c>
      <c r="I9" s="2" t="s">
        <v>20</v>
      </c>
      <c r="J9" s="2" t="s">
        <v>21</v>
      </c>
      <c r="K9" s="2" t="s">
        <v>51</v>
      </c>
      <c r="L9" s="1">
        <v>0.20744000000000001</v>
      </c>
      <c r="M9" s="1">
        <v>1</v>
      </c>
      <c r="N9" s="1">
        <v>0.20744000000000001</v>
      </c>
      <c r="O9">
        <f t="shared" si="0"/>
        <v>1.0372000000000001</v>
      </c>
    </row>
    <row r="10" spans="1:15" x14ac:dyDescent="0.3">
      <c r="A10" s="2" t="s">
        <v>14</v>
      </c>
      <c r="B10" s="2" t="s">
        <v>52</v>
      </c>
      <c r="C10" s="2" t="s">
        <v>24</v>
      </c>
      <c r="D10" s="2" t="s">
        <v>53</v>
      </c>
      <c r="E10" s="2" t="s">
        <v>26</v>
      </c>
      <c r="F10" s="2" t="s">
        <v>52</v>
      </c>
      <c r="G10" s="2" t="s">
        <v>27</v>
      </c>
      <c r="H10" s="1">
        <v>2</v>
      </c>
      <c r="I10" s="2" t="s">
        <v>31</v>
      </c>
      <c r="J10" s="2" t="s">
        <v>21</v>
      </c>
      <c r="K10" s="2" t="s">
        <v>54</v>
      </c>
      <c r="L10" s="1">
        <v>0.97670999999999997</v>
      </c>
      <c r="M10" s="1">
        <v>2</v>
      </c>
      <c r="N10" s="1">
        <v>1.95</v>
      </c>
      <c r="O10">
        <f t="shared" si="0"/>
        <v>9.7670999999999992</v>
      </c>
    </row>
    <row r="11" spans="1:15" x14ac:dyDescent="0.3">
      <c r="A11" s="2" t="s">
        <v>14</v>
      </c>
      <c r="B11" s="2" t="s">
        <v>55</v>
      </c>
      <c r="C11" s="2" t="s">
        <v>56</v>
      </c>
      <c r="D11" s="2" t="s">
        <v>57</v>
      </c>
      <c r="E11" s="2" t="s">
        <v>42</v>
      </c>
      <c r="F11" s="2" t="s">
        <v>55</v>
      </c>
      <c r="G11" s="2" t="s">
        <v>27</v>
      </c>
      <c r="H11" s="1">
        <v>2</v>
      </c>
      <c r="I11" s="2" t="s">
        <v>31</v>
      </c>
      <c r="J11" s="2" t="s">
        <v>21</v>
      </c>
      <c r="K11" s="2" t="s">
        <v>58</v>
      </c>
      <c r="L11" s="1">
        <v>1.469E-2</v>
      </c>
      <c r="M11" s="1">
        <v>10</v>
      </c>
      <c r="N11" s="1">
        <v>0.14693999999999999</v>
      </c>
      <c r="O11">
        <f t="shared" si="0"/>
        <v>0.1469</v>
      </c>
    </row>
    <row r="12" spans="1:15" x14ac:dyDescent="0.3">
      <c r="A12" s="2" t="s">
        <v>14</v>
      </c>
      <c r="B12" s="2" t="s">
        <v>59</v>
      </c>
      <c r="C12" s="2" t="s">
        <v>60</v>
      </c>
      <c r="D12" s="2" t="s">
        <v>61</v>
      </c>
      <c r="E12" s="2" t="s">
        <v>18</v>
      </c>
      <c r="F12" s="2" t="s">
        <v>59</v>
      </c>
      <c r="G12" s="2" t="s">
        <v>19</v>
      </c>
      <c r="H12" s="1">
        <v>1</v>
      </c>
      <c r="I12" s="2" t="s">
        <v>62</v>
      </c>
      <c r="J12" s="2" t="s">
        <v>21</v>
      </c>
      <c r="K12" s="2" t="s">
        <v>63</v>
      </c>
      <c r="L12" s="1">
        <v>0.58775999999999995</v>
      </c>
      <c r="M12" s="1">
        <v>1</v>
      </c>
      <c r="N12" s="1">
        <v>0.58775999999999995</v>
      </c>
      <c r="O12">
        <f t="shared" si="0"/>
        <v>0.58775999999999995</v>
      </c>
    </row>
    <row r="13" spans="1:15" x14ac:dyDescent="0.3">
      <c r="A13" s="2" t="s">
        <v>14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64</v>
      </c>
      <c r="G13" s="2" t="s">
        <v>27</v>
      </c>
      <c r="H13" s="1">
        <v>6</v>
      </c>
      <c r="I13" s="2" t="s">
        <v>31</v>
      </c>
      <c r="J13" s="2" t="s">
        <v>21</v>
      </c>
      <c r="K13" s="2" t="s">
        <v>68</v>
      </c>
      <c r="L13" s="1">
        <v>0.10372000000000001</v>
      </c>
      <c r="M13" s="1">
        <v>6</v>
      </c>
      <c r="N13" s="1">
        <v>0.62233000000000005</v>
      </c>
      <c r="O13">
        <f t="shared" si="0"/>
        <v>1.0372000000000001</v>
      </c>
    </row>
    <row r="14" spans="1:15" x14ac:dyDescent="0.3">
      <c r="A14" s="2" t="s">
        <v>14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69</v>
      </c>
      <c r="G14" s="2" t="s">
        <v>27</v>
      </c>
      <c r="H14" s="1">
        <v>1</v>
      </c>
      <c r="I14" s="2" t="s">
        <v>73</v>
      </c>
      <c r="J14" s="2" t="s">
        <v>21</v>
      </c>
      <c r="K14" s="2" t="s">
        <v>74</v>
      </c>
      <c r="L14" s="1">
        <v>1.68</v>
      </c>
      <c r="M14" s="1">
        <v>1</v>
      </c>
      <c r="N14" s="1">
        <v>1.68</v>
      </c>
      <c r="O14">
        <f t="shared" si="0"/>
        <v>3.36</v>
      </c>
    </row>
    <row r="15" spans="1:15" x14ac:dyDescent="0.3">
      <c r="A15" s="2" t="s">
        <v>14</v>
      </c>
      <c r="B15" s="2" t="s">
        <v>75</v>
      </c>
      <c r="C15" s="2" t="s">
        <v>60</v>
      </c>
      <c r="D15" s="2" t="s">
        <v>76</v>
      </c>
      <c r="E15" s="2" t="s">
        <v>77</v>
      </c>
      <c r="F15" s="2" t="s">
        <v>75</v>
      </c>
      <c r="G15" s="2" t="s">
        <v>27</v>
      </c>
      <c r="H15" s="1">
        <v>1</v>
      </c>
      <c r="I15" s="2" t="s">
        <v>73</v>
      </c>
      <c r="J15" s="2" t="s">
        <v>21</v>
      </c>
      <c r="K15" s="2" t="s">
        <v>78</v>
      </c>
      <c r="L15" s="1">
        <v>1.21</v>
      </c>
      <c r="M15" s="1">
        <v>1</v>
      </c>
      <c r="N15" s="1">
        <v>1.21</v>
      </c>
      <c r="O15">
        <f t="shared" si="0"/>
        <v>2.42</v>
      </c>
    </row>
    <row r="16" spans="1:15" x14ac:dyDescent="0.3">
      <c r="A16" s="2" t="s">
        <v>14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27</v>
      </c>
      <c r="H16" s="1">
        <v>1</v>
      </c>
      <c r="I16" s="2" t="s">
        <v>20</v>
      </c>
      <c r="J16" s="2" t="s">
        <v>21</v>
      </c>
      <c r="K16" s="2" t="s">
        <v>84</v>
      </c>
      <c r="L16" s="1">
        <v>0.10372000000000001</v>
      </c>
      <c r="M16" s="1">
        <v>1</v>
      </c>
      <c r="N16" s="1">
        <v>0.10372000000000001</v>
      </c>
      <c r="O16">
        <f t="shared" si="0"/>
        <v>0.51860000000000006</v>
      </c>
    </row>
    <row r="17" spans="1:15" x14ac:dyDescent="0.3">
      <c r="A17" s="2" t="s">
        <v>14</v>
      </c>
      <c r="B17" s="2" t="s">
        <v>85</v>
      </c>
      <c r="C17" s="2" t="s">
        <v>80</v>
      </c>
      <c r="D17" s="2" t="s">
        <v>86</v>
      </c>
      <c r="E17" s="2" t="s">
        <v>82</v>
      </c>
      <c r="F17" s="2" t="s">
        <v>85</v>
      </c>
      <c r="G17" s="2" t="s">
        <v>27</v>
      </c>
      <c r="H17" s="1">
        <v>1</v>
      </c>
      <c r="I17" s="2" t="s">
        <v>20</v>
      </c>
      <c r="J17" s="2" t="s">
        <v>21</v>
      </c>
      <c r="K17" s="2" t="s">
        <v>87</v>
      </c>
      <c r="L17" s="1">
        <v>8.6430000000000007E-2</v>
      </c>
      <c r="M17" s="1">
        <v>1</v>
      </c>
      <c r="N17" s="1">
        <v>8.6430000000000007E-2</v>
      </c>
      <c r="O17">
        <f t="shared" si="0"/>
        <v>0.43215000000000003</v>
      </c>
    </row>
    <row r="18" spans="1:15" x14ac:dyDescent="0.3">
      <c r="A18" s="2" t="s">
        <v>14</v>
      </c>
      <c r="B18" s="2" t="s">
        <v>88</v>
      </c>
      <c r="C18" s="2" t="s">
        <v>89</v>
      </c>
      <c r="D18" s="2" t="s">
        <v>90</v>
      </c>
      <c r="E18" s="2" t="s">
        <v>82</v>
      </c>
      <c r="F18" s="2" t="s">
        <v>88</v>
      </c>
      <c r="G18" s="2" t="s">
        <v>27</v>
      </c>
      <c r="H18" s="1">
        <v>1</v>
      </c>
      <c r="I18" s="2" t="s">
        <v>20</v>
      </c>
      <c r="J18" s="2" t="s">
        <v>21</v>
      </c>
      <c r="K18" s="2" t="s">
        <v>91</v>
      </c>
      <c r="L18" s="1">
        <v>0.14693999999999999</v>
      </c>
      <c r="M18" s="1">
        <v>1</v>
      </c>
      <c r="N18" s="1">
        <v>0.14693999999999999</v>
      </c>
      <c r="O18">
        <f t="shared" si="0"/>
        <v>0.73469999999999991</v>
      </c>
    </row>
    <row r="19" spans="1:15" x14ac:dyDescent="0.3">
      <c r="A19" s="2" t="s">
        <v>14</v>
      </c>
      <c r="B19" s="2" t="s">
        <v>92</v>
      </c>
      <c r="C19" s="2" t="s">
        <v>14</v>
      </c>
      <c r="D19" s="2" t="s">
        <v>93</v>
      </c>
      <c r="E19" s="2" t="s">
        <v>82</v>
      </c>
      <c r="F19" s="2" t="s">
        <v>92</v>
      </c>
      <c r="G19" s="2" t="s">
        <v>27</v>
      </c>
      <c r="H19" s="1">
        <v>2</v>
      </c>
      <c r="I19" s="2" t="s">
        <v>31</v>
      </c>
      <c r="J19" s="2" t="s">
        <v>21</v>
      </c>
      <c r="K19" s="2" t="s">
        <v>94</v>
      </c>
      <c r="L19" s="1">
        <v>0.12964999999999999</v>
      </c>
      <c r="M19" s="1">
        <v>2</v>
      </c>
      <c r="N19" s="1">
        <v>0.25929999999999997</v>
      </c>
      <c r="O19">
        <f t="shared" si="0"/>
        <v>1.2965</v>
      </c>
    </row>
    <row r="20" spans="1:15" x14ac:dyDescent="0.3">
      <c r="A20" s="2" t="s">
        <v>14</v>
      </c>
      <c r="B20" s="2" t="s">
        <v>95</v>
      </c>
      <c r="C20" s="2" t="s">
        <v>96</v>
      </c>
      <c r="D20" s="2" t="s">
        <v>97</v>
      </c>
      <c r="E20" s="2" t="s">
        <v>82</v>
      </c>
      <c r="F20" s="2" t="s">
        <v>95</v>
      </c>
      <c r="G20" s="2" t="s">
        <v>27</v>
      </c>
      <c r="H20" s="1">
        <v>1</v>
      </c>
      <c r="I20" s="2" t="s">
        <v>20</v>
      </c>
      <c r="J20" s="2" t="s">
        <v>21</v>
      </c>
      <c r="K20" s="2" t="s">
        <v>98</v>
      </c>
      <c r="L20" s="1">
        <v>8.6430000000000007E-2</v>
      </c>
      <c r="M20" s="1">
        <v>1</v>
      </c>
      <c r="N20" s="1">
        <v>8.6430000000000007E-2</v>
      </c>
      <c r="O20">
        <f t="shared" si="0"/>
        <v>0.43215000000000003</v>
      </c>
    </row>
    <row r="21" spans="1:15" x14ac:dyDescent="0.3">
      <c r="A21" s="2" t="s">
        <v>14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99</v>
      </c>
      <c r="G21" s="2" t="s">
        <v>27</v>
      </c>
      <c r="H21" s="1">
        <v>1</v>
      </c>
      <c r="I21" s="2" t="s">
        <v>20</v>
      </c>
      <c r="J21" s="2" t="s">
        <v>21</v>
      </c>
      <c r="K21" s="2" t="s">
        <v>103</v>
      </c>
      <c r="L21" s="1">
        <v>0.12101000000000001</v>
      </c>
      <c r="M21" s="1">
        <v>1</v>
      </c>
      <c r="N21" s="1">
        <v>0.12101000000000001</v>
      </c>
      <c r="O21">
        <f t="shared" si="0"/>
        <v>0.60505000000000009</v>
      </c>
    </row>
    <row r="22" spans="1:15" x14ac:dyDescent="0.3">
      <c r="A22" s="2" t="s">
        <v>14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104</v>
      </c>
      <c r="G22" s="2" t="s">
        <v>27</v>
      </c>
      <c r="H22" s="1">
        <v>1</v>
      </c>
      <c r="I22" s="2" t="s">
        <v>73</v>
      </c>
      <c r="J22" s="2" t="s">
        <v>21</v>
      </c>
      <c r="K22" s="2" t="s">
        <v>108</v>
      </c>
      <c r="L22" s="1">
        <v>12.54</v>
      </c>
      <c r="M22" s="1">
        <v>1</v>
      </c>
      <c r="N22" s="1">
        <v>12.54</v>
      </c>
      <c r="O22">
        <f t="shared" si="0"/>
        <v>25.08</v>
      </c>
    </row>
    <row r="23" spans="1:15" x14ac:dyDescent="0.3">
      <c r="N23">
        <f>SUM(N2:N22)</f>
        <v>26.020829999999997</v>
      </c>
      <c r="O23">
        <f>SUM(O2:O22)</f>
        <v>78.817909999999998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</vt:lpstr>
      <vt:lpstr>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Nicolae Butnari</dc:creator>
  <cp:lastModifiedBy>Nicolae Butnari</cp:lastModifiedBy>
  <dcterms:created xsi:type="dcterms:W3CDTF">2025-11-10T01:53:44Z</dcterms:created>
  <dcterms:modified xsi:type="dcterms:W3CDTF">2025-11-10T02:03:04Z</dcterms:modified>
</cp:coreProperties>
</file>